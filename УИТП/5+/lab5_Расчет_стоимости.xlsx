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<sst xmlns="http://schemas.openxmlformats.org/spreadsheetml/2006/main" count="111" uniqueCount="81">
  <si>
    <t>Содержание работ</t>
  </si>
  <si>
    <t>Исполнитель</t>
  </si>
  <si>
    <t>Трудозатраты, часов</t>
  </si>
  <si>
    <t>Должность</t>
  </si>
  <si>
    <t>Трудозатраты</t>
  </si>
  <si>
    <t>Ставка руб/час</t>
  </si>
  <si>
    <t>ЗП осн</t>
  </si>
  <si>
    <t>ЗП доп</t>
  </si>
  <si>
    <t>ФСЗН + БГС</t>
  </si>
  <si>
    <t>Прочие прямые затраты</t>
  </si>
  <si>
    <t>Накладные расходы</t>
  </si>
  <si>
    <t>Расходы на разработку</t>
  </si>
  <si>
    <t>Расходы на сопровождение и адаптацию</t>
  </si>
  <si>
    <t>Инициация проекта</t>
  </si>
  <si>
    <t>Project Manager, Business Analyst</t>
  </si>
  <si>
    <t>Backend Developer</t>
  </si>
  <si>
    <t>Планирование</t>
  </si>
  <si>
    <t>Project Manager, Business Analyst, UX/UI Designer</t>
  </si>
  <si>
    <t>Business Analyst</t>
  </si>
  <si>
    <t>Завершение проекта</t>
  </si>
  <si>
    <t>Content Manager</t>
  </si>
  <si>
    <t>Разработка технического задания</t>
  </si>
  <si>
    <t>DevOps Engineer</t>
  </si>
  <si>
    <t>Проектирование архитектуры</t>
  </si>
  <si>
    <t>Backend Developer, Security Specialist</t>
  </si>
  <si>
    <t>Frontend Developer</t>
  </si>
  <si>
    <t>Создание дизайн-макетов</t>
  </si>
  <si>
    <t>UX/UI Designer</t>
  </si>
  <si>
    <t>Project Manager</t>
  </si>
  <si>
    <t>Верстка основных страниц</t>
  </si>
  <si>
    <t>UX/UI Designer, Frontend Developer</t>
  </si>
  <si>
    <t>QA Engineer</t>
  </si>
  <si>
    <t>Реализация интерактивных элементов</t>
  </si>
  <si>
    <t>Frontend Developer, Backend Developer</t>
  </si>
  <si>
    <t>Security Specialist</t>
  </si>
  <si>
    <t>Адаптивная верстка</t>
  </si>
  <si>
    <t>Настройка серверной инфраструктуры</t>
  </si>
  <si>
    <t>Итого часов</t>
  </si>
  <si>
    <t>Реализация API</t>
  </si>
  <si>
    <t>Интеграция с внешними сервисами</t>
  </si>
  <si>
    <t>Backend Developer, DevOps Engineer</t>
  </si>
  <si>
    <t>Способ монетизации - разработка на заказ</t>
  </si>
  <si>
    <t>Функциональное тестирование</t>
  </si>
  <si>
    <t>Ставка НДС</t>
  </si>
  <si>
    <t>Нагрузочное тестирование</t>
  </si>
  <si>
    <t>Ур. рентабельности</t>
  </si>
  <si>
    <t>Юзабилити-тестирование</t>
  </si>
  <si>
    <t>QA Engineer, Content Manager</t>
  </si>
  <si>
    <t>Налог на прибыль</t>
  </si>
  <si>
    <t>Реализация карточек питомцев</t>
  </si>
  <si>
    <t>Прибыль</t>
  </si>
  <si>
    <t>Система хранения медицинских данных</t>
  </si>
  <si>
    <t>Цена</t>
  </si>
  <si>
    <t>Загрузка и обработка фото</t>
  </si>
  <si>
    <t>Сумма НДС</t>
  </si>
  <si>
    <t>Система напоминаний</t>
  </si>
  <si>
    <t>Цена с НДС</t>
  </si>
  <si>
    <t>Интеграция с календарями</t>
  </si>
  <si>
    <t>Чистая прибыль</t>
  </si>
  <si>
    <t>Шаблоны ухода для разных пород</t>
  </si>
  <si>
    <t>Backend Developer, Content Manager</t>
  </si>
  <si>
    <t>Каталог пород животных</t>
  </si>
  <si>
    <t>Frontend Developer, Backend Developer, Content Manager</t>
  </si>
  <si>
    <t>Статьи по уходу и лечению</t>
  </si>
  <si>
    <t xml:space="preserve"> </t>
  </si>
  <si>
    <t>Система поиска и фильтрации</t>
  </si>
  <si>
    <t>Зарплата основная</t>
  </si>
  <si>
    <t>Лента активности</t>
  </si>
  <si>
    <t>Система комментариев</t>
  </si>
  <si>
    <t>Сообщества по интересам</t>
  </si>
  <si>
    <t>Финальное тестирование</t>
  </si>
  <si>
    <t>QA Engineer, Security Specialist</t>
  </si>
  <si>
    <t>Наполнение БД первоначальным контентом</t>
  </si>
  <si>
    <t>Регистрация в app stores</t>
  </si>
  <si>
    <t>Project Manager, DevOps Engineer</t>
  </si>
  <si>
    <t>Разработка плана продвижения</t>
  </si>
  <si>
    <t>Project Manager, Content Manager</t>
  </si>
  <si>
    <t>Создание рекламных материалов</t>
  </si>
  <si>
    <t>UX/UI Designer, Content Manager</t>
  </si>
  <si>
    <t>Настройка аналитики</t>
  </si>
  <si>
    <t>Business Analyst, DevOps Engineer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</si>
</sst>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FFFF"/>
      <name val="Calibri"/>
    </font>
    <font>
      <sz val="12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11.0"/>
      <color rgb="FF3F3F3F"/>
      <name val="Calibri"/>
    </font>
    <font>
      <b/>
      <sz val="12.0"/>
      <color theme="0"/>
      <name val="Calibri"/>
    </font>
    <font>
      <b/>
      <sz val="11.0"/>
      <color rgb="FFFFFFFF"/>
      <name val="Calibri"/>
    </font>
    <font>
      <color theme="1"/>
      <name val="Arial"/>
      <scheme val="minor"/>
    </font>
    <font>
      <sz val="11.0"/>
      <color rgb="FF0F1115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rgb="FF34A853"/>
        <bgColor rgb="FF34A853"/>
      </patternFill>
    </fill>
  </fills>
  <borders count="3">
    <border/>
    <border>
      <left style="double">
        <color rgb="FF3F3F3F"/>
      </left>
      <right style="double">
        <color rgb="FF3F3F3F"/>
      </right>
      <top style="double">
        <color rgb="FF3F3F3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0" fontId="2" numFmtId="0" xfId="0" applyFont="1"/>
    <xf borderId="1" fillId="2" fontId="1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vertical="bottom"/>
    </xf>
    <xf borderId="2" fillId="0" fontId="4" numFmtId="0" xfId="0" applyAlignment="1" applyBorder="1" applyFont="1">
      <alignment readingOrder="0" shrinkToFit="0" vertical="bottom" wrapText="0"/>
    </xf>
    <xf borderId="2" fillId="0" fontId="4" numFmtId="0" xfId="0" applyAlignment="1" applyBorder="1" applyFont="1">
      <alignment horizontal="right" readingOrder="0" shrinkToFit="0" vertical="bottom" wrapText="0"/>
    </xf>
    <xf borderId="2" fillId="0" fontId="4" numFmtId="0" xfId="0" applyAlignment="1" applyBorder="1" applyFont="1">
      <alignment readingOrder="0" shrinkToFit="0" vertical="bottom" wrapText="0"/>
    </xf>
    <xf borderId="2" fillId="0" fontId="4" numFmtId="0" xfId="0" applyAlignment="1" applyBorder="1" applyFont="1">
      <alignment horizontal="right" readingOrder="0" shrinkToFit="0" vertical="bottom" wrapText="0"/>
    </xf>
    <xf borderId="2" fillId="3" fontId="5" numFmtId="0" xfId="0" applyAlignment="1" applyBorder="1" applyFill="1" applyFont="1">
      <alignment horizontal="right" readingOrder="0" shrinkToFit="0" vertical="bottom" wrapText="0"/>
    </xf>
    <xf borderId="2" fillId="0" fontId="3" numFmtId="0" xfId="0" applyAlignment="1" applyBorder="1" applyFont="1">
      <alignment readingOrder="0"/>
    </xf>
    <xf borderId="2" fillId="2" fontId="1" numFmtId="0" xfId="0" applyAlignment="1" applyBorder="1" applyFont="1">
      <alignment readingOrder="0"/>
    </xf>
    <xf borderId="2" fillId="2" fontId="6" numFmtId="0" xfId="0" applyBorder="1" applyFont="1"/>
    <xf borderId="0" fillId="0" fontId="3" numFmtId="0" xfId="0" applyAlignment="1" applyFont="1">
      <alignment readingOrder="0"/>
    </xf>
    <xf borderId="2" fillId="2" fontId="7" numFmtId="0" xfId="0" applyAlignment="1" applyBorder="1" applyFont="1">
      <alignment readingOrder="0"/>
    </xf>
    <xf borderId="2" fillId="4" fontId="7" numFmtId="0" xfId="0" applyAlignment="1" applyBorder="1" applyFill="1" applyFont="1">
      <alignment vertical="bottom"/>
    </xf>
    <xf borderId="2" fillId="0" fontId="3" numFmtId="0" xfId="0" applyAlignment="1" applyBorder="1" applyFont="1">
      <alignment horizontal="right" vertical="bottom"/>
    </xf>
    <xf borderId="2" fillId="4" fontId="7" numFmtId="0" xfId="0" applyAlignment="1" applyBorder="1" applyFont="1">
      <alignment readingOrder="0" vertical="bottom"/>
    </xf>
    <xf borderId="2" fillId="0" fontId="3" numFmtId="0" xfId="0" applyAlignment="1" applyBorder="1" applyFont="1">
      <alignment horizontal="right" readingOrder="0" vertical="bottom"/>
    </xf>
    <xf borderId="2" fillId="4" fontId="7" numFmtId="0" xfId="0" applyAlignment="1" applyBorder="1" applyFont="1">
      <alignment vertical="bottom"/>
    </xf>
    <xf borderId="0" fillId="0" fontId="8" numFmtId="0" xfId="0" applyAlignment="1" applyFont="1">
      <alignment readingOrder="0"/>
    </xf>
    <xf borderId="2" fillId="3" fontId="9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38"/>
    <col customWidth="1" min="3" max="3" width="46.0"/>
    <col customWidth="1" min="4" max="4" width="22.88"/>
    <col customWidth="1" min="6" max="6" width="17.38"/>
    <col customWidth="1" min="7" max="7" width="18.13"/>
    <col customWidth="1" min="8" max="8" width="17.75"/>
    <col customWidth="1" min="12" max="12" width="16.75"/>
    <col customWidth="1" min="15" max="15" width="17.38"/>
  </cols>
  <sheetData>
    <row r="2">
      <c r="B2" s="1" t="s">
        <v>0</v>
      </c>
      <c r="C2" s="1" t="s">
        <v>1</v>
      </c>
      <c r="D2" s="1" t="s">
        <v>2</v>
      </c>
      <c r="E2" s="2"/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</row>
    <row r="3">
      <c r="B3" s="4" t="s">
        <v>13</v>
      </c>
      <c r="C3" s="5" t="s">
        <v>14</v>
      </c>
      <c r="D3" s="6">
        <v>24.0</v>
      </c>
      <c r="F3" s="7" t="s">
        <v>15</v>
      </c>
      <c r="G3" s="8">
        <v>662.63</v>
      </c>
      <c r="H3" s="9">
        <f t="shared" ref="H3:H11" si="1">G27/168</f>
        <v>20.83333333</v>
      </c>
      <c r="I3" s="9">
        <f t="shared" ref="I3:I11" si="2">G3*H3</f>
        <v>13804.79167</v>
      </c>
      <c r="J3" s="7">
        <f t="shared" ref="J3:J11" si="3">I3*0.11</f>
        <v>1518.527083</v>
      </c>
      <c r="K3" s="8">
        <f t="shared" ref="K3:K11" si="4">((I3+J3)*0.34)+((I3+J3)*0.006)</f>
        <v>5301.868288</v>
      </c>
      <c r="L3" s="9">
        <f t="shared" ref="L3:L11" si="5">I3*0.1</f>
        <v>1380.479167</v>
      </c>
      <c r="M3" s="9">
        <f t="shared" ref="M3:M11" si="6">I3*0.45</f>
        <v>6212.15625</v>
      </c>
      <c r="N3" s="9">
        <f t="shared" ref="N3:N12" si="7">SUM(I3:M3)</f>
        <v>28217.82245</v>
      </c>
      <c r="O3" s="9">
        <f t="shared" ref="O3:O12" si="8">N3*0.1</f>
        <v>2821.782245</v>
      </c>
    </row>
    <row r="4">
      <c r="B4" s="4" t="s">
        <v>16</v>
      </c>
      <c r="C4" s="5" t="s">
        <v>17</v>
      </c>
      <c r="D4" s="6">
        <v>50.6</v>
      </c>
      <c r="F4" s="7" t="s">
        <v>18</v>
      </c>
      <c r="G4" s="8">
        <v>93.33</v>
      </c>
      <c r="H4" s="9">
        <f t="shared" si="1"/>
        <v>20.83333333</v>
      </c>
      <c r="I4" s="9">
        <f t="shared" si="2"/>
        <v>1944.375</v>
      </c>
      <c r="J4" s="7">
        <f t="shared" si="3"/>
        <v>213.88125</v>
      </c>
      <c r="K4" s="8">
        <f t="shared" si="4"/>
        <v>746.7566625</v>
      </c>
      <c r="L4" s="9">
        <f t="shared" si="5"/>
        <v>194.4375</v>
      </c>
      <c r="M4" s="9">
        <f t="shared" si="6"/>
        <v>874.96875</v>
      </c>
      <c r="N4" s="9">
        <f t="shared" si="7"/>
        <v>3974.419163</v>
      </c>
      <c r="O4" s="9">
        <f t="shared" si="8"/>
        <v>397.4419163</v>
      </c>
    </row>
    <row r="5">
      <c r="B5" s="4" t="s">
        <v>19</v>
      </c>
      <c r="C5" s="5" t="s">
        <v>14</v>
      </c>
      <c r="D5" s="6">
        <v>8.0</v>
      </c>
      <c r="F5" s="7" t="s">
        <v>20</v>
      </c>
      <c r="G5" s="8">
        <v>306.66</v>
      </c>
      <c r="H5" s="9">
        <f t="shared" si="1"/>
        <v>10.71428571</v>
      </c>
      <c r="I5" s="9">
        <f t="shared" si="2"/>
        <v>3285.642857</v>
      </c>
      <c r="J5" s="7">
        <f t="shared" si="3"/>
        <v>361.4207143</v>
      </c>
      <c r="K5" s="8">
        <f t="shared" si="4"/>
        <v>1261.883996</v>
      </c>
      <c r="L5" s="9">
        <f t="shared" si="5"/>
        <v>328.5642857</v>
      </c>
      <c r="M5" s="9">
        <f t="shared" si="6"/>
        <v>1478.539286</v>
      </c>
      <c r="N5" s="9">
        <f t="shared" si="7"/>
        <v>6716.051139</v>
      </c>
      <c r="O5" s="9">
        <f t="shared" si="8"/>
        <v>671.6051139</v>
      </c>
    </row>
    <row r="6">
      <c r="B6" s="10" t="s">
        <v>21</v>
      </c>
      <c r="C6" s="5" t="s">
        <v>14</v>
      </c>
      <c r="D6" s="6">
        <v>40.0</v>
      </c>
      <c r="F6" s="7" t="s">
        <v>22</v>
      </c>
      <c r="G6" s="8">
        <v>72.0</v>
      </c>
      <c r="H6" s="9">
        <f t="shared" si="1"/>
        <v>26.78571429</v>
      </c>
      <c r="I6" s="9">
        <f t="shared" si="2"/>
        <v>1928.571429</v>
      </c>
      <c r="J6" s="7">
        <f t="shared" si="3"/>
        <v>212.1428571</v>
      </c>
      <c r="K6" s="8">
        <f t="shared" si="4"/>
        <v>740.6871429</v>
      </c>
      <c r="L6" s="9">
        <f t="shared" si="5"/>
        <v>192.8571429</v>
      </c>
      <c r="M6" s="9">
        <f t="shared" si="6"/>
        <v>867.8571429</v>
      </c>
      <c r="N6" s="9">
        <f t="shared" si="7"/>
        <v>3942.115714</v>
      </c>
      <c r="O6" s="9">
        <f t="shared" si="8"/>
        <v>394.2115714</v>
      </c>
    </row>
    <row r="7">
      <c r="B7" s="10" t="s">
        <v>23</v>
      </c>
      <c r="C7" s="5" t="s">
        <v>24</v>
      </c>
      <c r="D7" s="6">
        <v>40.0</v>
      </c>
      <c r="F7" s="7" t="s">
        <v>25</v>
      </c>
      <c r="G7" s="8">
        <v>338.66</v>
      </c>
      <c r="H7" s="9">
        <f t="shared" si="1"/>
        <v>17.85714286</v>
      </c>
      <c r="I7" s="9">
        <f t="shared" si="2"/>
        <v>6047.5</v>
      </c>
      <c r="J7" s="7">
        <f t="shared" si="3"/>
        <v>665.225</v>
      </c>
      <c r="K7" s="8">
        <f t="shared" si="4"/>
        <v>2322.60285</v>
      </c>
      <c r="L7" s="9">
        <f t="shared" si="5"/>
        <v>604.75</v>
      </c>
      <c r="M7" s="9">
        <f t="shared" si="6"/>
        <v>2721.375</v>
      </c>
      <c r="N7" s="9">
        <f t="shared" si="7"/>
        <v>12361.45285</v>
      </c>
      <c r="O7" s="9">
        <f t="shared" si="8"/>
        <v>1236.145285</v>
      </c>
    </row>
    <row r="8">
      <c r="B8" s="10" t="s">
        <v>26</v>
      </c>
      <c r="C8" s="5" t="s">
        <v>27</v>
      </c>
      <c r="D8" s="6">
        <v>56.0</v>
      </c>
      <c r="F8" s="7" t="s">
        <v>28</v>
      </c>
      <c r="G8" s="8">
        <v>69.33</v>
      </c>
      <c r="H8" s="9">
        <f t="shared" si="1"/>
        <v>23.80952381</v>
      </c>
      <c r="I8" s="9">
        <f t="shared" si="2"/>
        <v>1650.714286</v>
      </c>
      <c r="J8" s="7">
        <f t="shared" si="3"/>
        <v>181.5785714</v>
      </c>
      <c r="K8" s="8">
        <f t="shared" si="4"/>
        <v>633.9733286</v>
      </c>
      <c r="L8" s="9">
        <f t="shared" si="5"/>
        <v>165.0714286</v>
      </c>
      <c r="M8" s="9">
        <f t="shared" si="6"/>
        <v>742.8214286</v>
      </c>
      <c r="N8" s="9">
        <f t="shared" si="7"/>
        <v>3374.159043</v>
      </c>
      <c r="O8" s="9">
        <f t="shared" si="8"/>
        <v>337.4159043</v>
      </c>
    </row>
    <row r="9">
      <c r="B9" s="10" t="s">
        <v>29</v>
      </c>
      <c r="C9" s="5" t="s">
        <v>30</v>
      </c>
      <c r="D9" s="6">
        <v>80.0</v>
      </c>
      <c r="F9" s="7" t="s">
        <v>31</v>
      </c>
      <c r="G9" s="8">
        <v>112.0</v>
      </c>
      <c r="H9" s="9">
        <f t="shared" si="1"/>
        <v>14.88095238</v>
      </c>
      <c r="I9" s="9">
        <f t="shared" si="2"/>
        <v>1666.666667</v>
      </c>
      <c r="J9" s="7">
        <f t="shared" si="3"/>
        <v>183.3333333</v>
      </c>
      <c r="K9" s="8">
        <f t="shared" si="4"/>
        <v>640.1</v>
      </c>
      <c r="L9" s="9">
        <f t="shared" si="5"/>
        <v>166.6666667</v>
      </c>
      <c r="M9" s="9">
        <f t="shared" si="6"/>
        <v>750</v>
      </c>
      <c r="N9" s="9">
        <f t="shared" si="7"/>
        <v>3406.766667</v>
      </c>
      <c r="O9" s="9">
        <f t="shared" si="8"/>
        <v>340.6766667</v>
      </c>
    </row>
    <row r="10">
      <c r="B10" s="10" t="s">
        <v>32</v>
      </c>
      <c r="C10" s="5" t="s">
        <v>33</v>
      </c>
      <c r="D10" s="6">
        <v>24.0</v>
      </c>
      <c r="F10" s="7" t="s">
        <v>34</v>
      </c>
      <c r="G10" s="8">
        <v>48.0</v>
      </c>
      <c r="H10" s="9">
        <f t="shared" si="1"/>
        <v>23.80952381</v>
      </c>
      <c r="I10" s="9">
        <f t="shared" si="2"/>
        <v>1142.857143</v>
      </c>
      <c r="J10" s="7">
        <f t="shared" si="3"/>
        <v>125.7142857</v>
      </c>
      <c r="K10" s="8">
        <f t="shared" si="4"/>
        <v>438.9257143</v>
      </c>
      <c r="L10" s="9">
        <f t="shared" si="5"/>
        <v>114.2857143</v>
      </c>
      <c r="M10" s="9">
        <f t="shared" si="6"/>
        <v>514.2857143</v>
      </c>
      <c r="N10" s="9">
        <f t="shared" si="7"/>
        <v>2336.068571</v>
      </c>
      <c r="O10" s="9">
        <f t="shared" si="8"/>
        <v>233.6068571</v>
      </c>
    </row>
    <row r="11">
      <c r="B11" s="10" t="s">
        <v>35</v>
      </c>
      <c r="C11" s="5" t="s">
        <v>25</v>
      </c>
      <c r="D11" s="6">
        <v>36.0</v>
      </c>
      <c r="F11" s="7" t="s">
        <v>27</v>
      </c>
      <c r="G11" s="8">
        <v>111.99</v>
      </c>
      <c r="H11" s="9">
        <f t="shared" si="1"/>
        <v>17.85714286</v>
      </c>
      <c r="I11" s="9">
        <f t="shared" si="2"/>
        <v>1999.821429</v>
      </c>
      <c r="J11" s="7">
        <f t="shared" si="3"/>
        <v>219.9803571</v>
      </c>
      <c r="K11" s="8">
        <f t="shared" si="4"/>
        <v>768.0514179</v>
      </c>
      <c r="L11" s="9">
        <f t="shared" si="5"/>
        <v>199.9821429</v>
      </c>
      <c r="M11" s="9">
        <f t="shared" si="6"/>
        <v>899.9196429</v>
      </c>
      <c r="N11" s="9">
        <f t="shared" si="7"/>
        <v>4087.754989</v>
      </c>
      <c r="O11" s="9">
        <f t="shared" si="8"/>
        <v>408.7754989</v>
      </c>
    </row>
    <row r="12">
      <c r="B12" s="10" t="s">
        <v>36</v>
      </c>
      <c r="C12" s="5" t="s">
        <v>15</v>
      </c>
      <c r="D12" s="6">
        <v>48.0</v>
      </c>
      <c r="F12" s="11" t="s">
        <v>37</v>
      </c>
      <c r="G12" s="12">
        <f>SUM(G3:G11)</f>
        <v>1814.6</v>
      </c>
      <c r="H12" s="12"/>
      <c r="I12" s="12">
        <f t="shared" ref="I12:M12" si="9">SUM(I3:I11)</f>
        <v>33470.94048</v>
      </c>
      <c r="J12" s="12">
        <f t="shared" si="9"/>
        <v>3681.803452</v>
      </c>
      <c r="K12" s="12">
        <f t="shared" si="9"/>
        <v>12854.8494</v>
      </c>
      <c r="L12" s="12">
        <f t="shared" si="9"/>
        <v>3347.094048</v>
      </c>
      <c r="M12" s="12">
        <f t="shared" si="9"/>
        <v>15061.92321</v>
      </c>
      <c r="N12" s="12">
        <f t="shared" si="7"/>
        <v>68416.61059</v>
      </c>
      <c r="O12" s="12">
        <f t="shared" si="8"/>
        <v>6841.661059</v>
      </c>
      <c r="P12" s="12">
        <f>SUM(N12:O12)</f>
        <v>75258.27165</v>
      </c>
    </row>
    <row r="13">
      <c r="B13" s="10" t="s">
        <v>38</v>
      </c>
      <c r="C13" s="5" t="s">
        <v>15</v>
      </c>
      <c r="D13" s="6">
        <v>88.0</v>
      </c>
    </row>
    <row r="14">
      <c r="B14" s="10" t="s">
        <v>39</v>
      </c>
      <c r="C14" s="5" t="s">
        <v>40</v>
      </c>
      <c r="D14" s="6">
        <v>40.0</v>
      </c>
      <c r="F14" s="13" t="s">
        <v>41</v>
      </c>
    </row>
    <row r="15">
      <c r="B15" s="10" t="s">
        <v>42</v>
      </c>
      <c r="C15" s="5" t="s">
        <v>31</v>
      </c>
      <c r="D15" s="6">
        <v>48.0</v>
      </c>
      <c r="F15" s="14" t="s">
        <v>43</v>
      </c>
      <c r="G15" s="10">
        <v>0.2</v>
      </c>
    </row>
    <row r="16">
      <c r="B16" s="10" t="s">
        <v>44</v>
      </c>
      <c r="C16" s="5" t="s">
        <v>31</v>
      </c>
      <c r="D16" s="6">
        <v>32.0</v>
      </c>
      <c r="F16" s="15" t="s">
        <v>45</v>
      </c>
      <c r="G16" s="16">
        <v>0.2</v>
      </c>
    </row>
    <row r="17">
      <c r="B17" s="10" t="s">
        <v>46</v>
      </c>
      <c r="C17" s="5" t="s">
        <v>47</v>
      </c>
      <c r="D17" s="6">
        <v>24.0</v>
      </c>
      <c r="F17" s="17" t="s">
        <v>48</v>
      </c>
      <c r="G17" s="18">
        <v>0.2</v>
      </c>
    </row>
    <row r="18">
      <c r="B18" s="10" t="s">
        <v>49</v>
      </c>
      <c r="C18" s="5" t="s">
        <v>33</v>
      </c>
      <c r="D18" s="6">
        <v>48.0</v>
      </c>
      <c r="F18" s="15" t="s">
        <v>50</v>
      </c>
      <c r="G18" s="16">
        <f>P12*G16</f>
        <v>15051.65433</v>
      </c>
    </row>
    <row r="19">
      <c r="B19" s="10" t="s">
        <v>51</v>
      </c>
      <c r="C19" s="5" t="s">
        <v>24</v>
      </c>
      <c r="D19" s="6">
        <v>88.0</v>
      </c>
      <c r="F19" s="15" t="s">
        <v>52</v>
      </c>
      <c r="G19" s="16">
        <f>P12+G18</f>
        <v>90309.92598</v>
      </c>
    </row>
    <row r="20">
      <c r="B20" s="10" t="s">
        <v>53</v>
      </c>
      <c r="C20" s="5" t="s">
        <v>33</v>
      </c>
      <c r="D20" s="6">
        <v>56.0</v>
      </c>
      <c r="F20" s="15" t="s">
        <v>54</v>
      </c>
      <c r="G20" s="4">
        <f>G19*G15</f>
        <v>18061.9852</v>
      </c>
    </row>
    <row r="21">
      <c r="B21" s="10" t="s">
        <v>55</v>
      </c>
      <c r="C21" s="5" t="s">
        <v>33</v>
      </c>
      <c r="D21" s="6">
        <v>72.0</v>
      </c>
      <c r="F21" s="15" t="s">
        <v>56</v>
      </c>
      <c r="G21" s="4">
        <f>G19+G20</f>
        <v>108371.9112</v>
      </c>
    </row>
    <row r="22">
      <c r="B22" s="10" t="s">
        <v>57</v>
      </c>
      <c r="C22" s="5" t="s">
        <v>40</v>
      </c>
      <c r="D22" s="6">
        <v>56.0</v>
      </c>
      <c r="F22" s="19" t="s">
        <v>58</v>
      </c>
      <c r="G22" s="4">
        <f>G18*(1-G17)</f>
        <v>12041.32346</v>
      </c>
    </row>
    <row r="23">
      <c r="B23" s="10" t="s">
        <v>59</v>
      </c>
      <c r="C23" s="5" t="s">
        <v>60</v>
      </c>
      <c r="D23" s="6">
        <v>56.0</v>
      </c>
    </row>
    <row r="24">
      <c r="B24" s="10" t="s">
        <v>61</v>
      </c>
      <c r="C24" s="5" t="s">
        <v>62</v>
      </c>
      <c r="D24" s="6">
        <v>120.0</v>
      </c>
    </row>
    <row r="25">
      <c r="B25" s="10" t="s">
        <v>63</v>
      </c>
      <c r="C25" s="5" t="s">
        <v>60</v>
      </c>
      <c r="D25" s="6">
        <v>104.0</v>
      </c>
      <c r="H25" s="20" t="s">
        <v>64</v>
      </c>
    </row>
    <row r="26">
      <c r="B26" s="10" t="s">
        <v>65</v>
      </c>
      <c r="C26" s="5" t="s">
        <v>33</v>
      </c>
      <c r="D26" s="6">
        <v>56.0</v>
      </c>
      <c r="F26" s="3" t="s">
        <v>3</v>
      </c>
      <c r="G26" s="3" t="s">
        <v>66</v>
      </c>
    </row>
    <row r="27">
      <c r="B27" s="10" t="s">
        <v>67</v>
      </c>
      <c r="C27" s="5" t="s">
        <v>33</v>
      </c>
      <c r="D27" s="6">
        <v>48.0</v>
      </c>
      <c r="F27" s="7" t="s">
        <v>15</v>
      </c>
      <c r="G27" s="9">
        <v>3500.0</v>
      </c>
    </row>
    <row r="28">
      <c r="B28" s="10" t="s">
        <v>68</v>
      </c>
      <c r="C28" s="5" t="s">
        <v>33</v>
      </c>
      <c r="D28" s="6">
        <v>80.0</v>
      </c>
      <c r="F28" s="7" t="s">
        <v>18</v>
      </c>
      <c r="G28" s="9">
        <v>3500.0</v>
      </c>
    </row>
    <row r="29">
      <c r="B29" s="10" t="s">
        <v>69</v>
      </c>
      <c r="C29" s="5" t="s">
        <v>62</v>
      </c>
      <c r="D29" s="6">
        <v>80.0</v>
      </c>
      <c r="F29" s="7" t="s">
        <v>20</v>
      </c>
      <c r="G29" s="9">
        <v>1800.0</v>
      </c>
    </row>
    <row r="30">
      <c r="B30" s="10" t="s">
        <v>70</v>
      </c>
      <c r="C30" s="5" t="s">
        <v>71</v>
      </c>
      <c r="D30" s="6">
        <v>32.0</v>
      </c>
      <c r="F30" s="7" t="s">
        <v>22</v>
      </c>
      <c r="G30" s="9">
        <v>4500.0</v>
      </c>
    </row>
    <row r="31">
      <c r="B31" s="10" t="s">
        <v>72</v>
      </c>
      <c r="C31" s="5" t="s">
        <v>60</v>
      </c>
      <c r="D31" s="6">
        <v>80.0</v>
      </c>
      <c r="F31" s="7" t="s">
        <v>25</v>
      </c>
      <c r="G31" s="9">
        <v>3000.0</v>
      </c>
    </row>
    <row r="32">
      <c r="B32" s="10" t="s">
        <v>73</v>
      </c>
      <c r="C32" s="5" t="s">
        <v>74</v>
      </c>
      <c r="D32" s="6">
        <v>24.0</v>
      </c>
      <c r="F32" s="7" t="s">
        <v>28</v>
      </c>
      <c r="G32" s="21">
        <v>4000.0</v>
      </c>
    </row>
    <row r="33">
      <c r="B33" s="10" t="s">
        <v>75</v>
      </c>
      <c r="C33" s="5" t="s">
        <v>76</v>
      </c>
      <c r="D33" s="6">
        <v>40.0</v>
      </c>
      <c r="F33" s="7" t="s">
        <v>31</v>
      </c>
      <c r="G33" s="9">
        <v>2500.0</v>
      </c>
    </row>
    <row r="34">
      <c r="B34" s="10" t="s">
        <v>77</v>
      </c>
      <c r="C34" s="5" t="s">
        <v>78</v>
      </c>
      <c r="D34" s="6">
        <v>96.0</v>
      </c>
      <c r="F34" s="7" t="s">
        <v>34</v>
      </c>
      <c r="G34" s="9">
        <v>4000.0</v>
      </c>
    </row>
    <row r="35">
      <c r="B35" s="10" t="s">
        <v>79</v>
      </c>
      <c r="C35" s="5" t="s">
        <v>80</v>
      </c>
      <c r="D35" s="6">
        <v>40.0</v>
      </c>
      <c r="F35" s="7" t="s">
        <v>27</v>
      </c>
      <c r="G35" s="10">
        <v>3000.0</v>
      </c>
    </row>
    <row r="36">
      <c r="B36" s="11" t="s">
        <v>37</v>
      </c>
      <c r="C36" s="12"/>
      <c r="D36" s="12">
        <f>SUM(D3:D35)</f>
        <v>1814.6</v>
      </c>
    </row>
  </sheetData>
  <drawing r:id="rId1"/>
</worksheet>
</file>